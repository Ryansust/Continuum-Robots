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<sst xmlns="http://schemas.openxmlformats.org/spreadsheetml/2006/main" count="29" uniqueCount="14">
  <si>
    <t>实验次数</t>
  </si>
  <si>
    <t>f1</t>
  </si>
  <si>
    <t>f2</t>
  </si>
  <si>
    <t>f3</t>
  </si>
  <si>
    <t>f4</t>
  </si>
  <si>
    <t>f5</t>
  </si>
  <si>
    <t>f6</t>
  </si>
  <si>
    <t>e1</t>
  </si>
  <si>
    <t>e2</t>
  </si>
  <si>
    <t>e3</t>
  </si>
  <si>
    <t>e4</t>
  </si>
  <si>
    <t>e5</t>
  </si>
  <si>
    <t>e6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</si>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</sst>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1"/>
  <sheetViews>
    <sheetView tabSelected="1" workbookViewId="0">
      <selection activeCell="H6" sqref="H6"/>
    </sheetView>
  </sheetViews>
  <sheetFormatPr defaultColWidth="9" defaultRowHeight="16.8"/>
  <cols>
    <col min="1" max="1" width="10.4375" customWidth="1"/>
    <col min="20" max="20" width="15.625" customWidth="1"/>
    <col min="21" max="25" width="12.7857142857143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</v>
      </c>
      <c r="U1" t="s">
        <v>2</v>
      </c>
      <c r="V1" t="s">
        <v>3</v>
      </c>
      <c r="W1" t="s">
        <v>4</v>
      </c>
      <c r="X1" t="s">
        <v>5</v>
      </c>
      <c r="Y1" t="s">
        <v>6</v>
      </c>
    </row>
    <row r="2" spans="1:25">
      <c r="A2">
        <v>1</v>
      </c>
      <c r="B2">
        <v>0</v>
      </c>
      <c r="C2">
        <v>-271.34</v>
      </c>
      <c r="D2">
        <v>0</v>
      </c>
      <c r="E2">
        <v>0</v>
      </c>
      <c r="F2">
        <v>0</v>
      </c>
      <c r="G2">
        <v>0</v>
      </c>
      <c r="H2">
        <v>-15</v>
      </c>
      <c r="I2">
        <v>-269</v>
      </c>
      <c r="J2">
        <v>-4</v>
      </c>
      <c r="K2">
        <v>-13</v>
      </c>
      <c r="L2">
        <v>-8</v>
      </c>
      <c r="M2">
        <v>-21</v>
      </c>
      <c r="N2">
        <v>-583.04</v>
      </c>
      <c r="O2">
        <v>-605.3</v>
      </c>
      <c r="P2">
        <v>-846.5</v>
      </c>
      <c r="Q2">
        <v>-649.87</v>
      </c>
      <c r="R2">
        <v>-829.05</v>
      </c>
      <c r="S2">
        <v>-402.38</v>
      </c>
      <c r="T2">
        <f>ABS((H2-H6)/I6)</f>
        <v>0.0298507462686567</v>
      </c>
      <c r="U2">
        <f>ABS((I2-I6)/I6)</f>
        <v>0.00373134328358209</v>
      </c>
      <c r="V2">
        <f>ABS((J2-J6)/I6)</f>
        <v>0.00746268656716418</v>
      </c>
      <c r="W2">
        <f>ABS((K2-K6)/I6)</f>
        <v>0.0149253731343284</v>
      </c>
      <c r="X2">
        <f>ABS((L2-L6)/I6)</f>
        <v>0.00746268656716418</v>
      </c>
      <c r="Y2">
        <f>ABS((M2-M6)/I6)</f>
        <v>0.0223880597014925</v>
      </c>
    </row>
    <row r="3" spans="1:21">
      <c r="A3">
        <v>2</v>
      </c>
      <c r="B3">
        <v>0</v>
      </c>
      <c r="C3">
        <v>-271.34</v>
      </c>
      <c r="D3">
        <v>0</v>
      </c>
      <c r="E3">
        <v>0</v>
      </c>
      <c r="F3">
        <v>0</v>
      </c>
      <c r="G3">
        <v>0</v>
      </c>
      <c r="H3">
        <v>-14</v>
      </c>
      <c r="I3">
        <v>-268</v>
      </c>
      <c r="J3">
        <v>-5</v>
      </c>
      <c r="K3">
        <v>-12</v>
      </c>
      <c r="L3">
        <v>-7</v>
      </c>
      <c r="M3">
        <v>-21</v>
      </c>
      <c r="N3">
        <v>-582.86</v>
      </c>
      <c r="O3">
        <v>-605.55</v>
      </c>
      <c r="P3">
        <v>-845.38</v>
      </c>
      <c r="Q3">
        <v>-651.03</v>
      </c>
      <c r="R3">
        <v>-828.73</v>
      </c>
      <c r="S3">
        <v>-402.55</v>
      </c>
      <c r="T3">
        <f>ABS((H3-H6)/I6)</f>
        <v>0.0261194029850746</v>
      </c>
      <c r="U3">
        <f>ABS((I3-I6)/I6)</f>
        <v>0</v>
      </c>
    </row>
    <row r="4" spans="1:21">
      <c r="A4">
        <v>3</v>
      </c>
      <c r="B4">
        <v>0</v>
      </c>
      <c r="C4">
        <v>-271.34</v>
      </c>
      <c r="D4">
        <v>0</v>
      </c>
      <c r="E4">
        <v>0</v>
      </c>
      <c r="F4">
        <v>0</v>
      </c>
      <c r="G4">
        <v>0</v>
      </c>
      <c r="H4">
        <v>-15</v>
      </c>
      <c r="I4">
        <v>-268</v>
      </c>
      <c r="J4">
        <v>-5</v>
      </c>
      <c r="K4">
        <v>-12</v>
      </c>
      <c r="L4">
        <v>-8</v>
      </c>
      <c r="M4">
        <v>-21</v>
      </c>
      <c r="N4">
        <v>-583.17</v>
      </c>
      <c r="O4">
        <v>-606.23</v>
      </c>
      <c r="P4">
        <v>-845.4</v>
      </c>
      <c r="Q4">
        <v>-650.67</v>
      </c>
      <c r="R4">
        <v>-828.47</v>
      </c>
      <c r="S4">
        <v>-402.73</v>
      </c>
      <c r="T4">
        <f>ABS((H4-H6)/I6)</f>
        <v>0.0298507462686567</v>
      </c>
      <c r="U4">
        <f>ABS((I4-I6)/I6)</f>
        <v>0</v>
      </c>
    </row>
    <row r="5" spans="1:21">
      <c r="A5">
        <v>4</v>
      </c>
      <c r="B5">
        <v>0</v>
      </c>
      <c r="C5">
        <v>-271.34</v>
      </c>
      <c r="D5">
        <v>0</v>
      </c>
      <c r="E5">
        <v>0</v>
      </c>
      <c r="F5">
        <v>0</v>
      </c>
      <c r="G5">
        <v>0</v>
      </c>
      <c r="H5">
        <v>-14</v>
      </c>
      <c r="I5">
        <v>-267</v>
      </c>
      <c r="J5">
        <v>-4</v>
      </c>
      <c r="K5">
        <v>-12</v>
      </c>
      <c r="L5">
        <v>-8</v>
      </c>
      <c r="M5">
        <v>-21</v>
      </c>
      <c r="N5">
        <v>-583.53</v>
      </c>
      <c r="O5">
        <v>-606.24</v>
      </c>
      <c r="P5">
        <v>-845.53</v>
      </c>
      <c r="Q5">
        <v>-650.79</v>
      </c>
      <c r="R5">
        <v>-828.54</v>
      </c>
      <c r="S5">
        <v>-402.33</v>
      </c>
      <c r="T5">
        <f>ABS((H5-H6)/I6)</f>
        <v>0.0261194029850746</v>
      </c>
      <c r="U5">
        <f>ABS((I5-I6)/I6)</f>
        <v>0.00373134328358209</v>
      </c>
    </row>
    <row r="6" spans="1:19">
      <c r="A6" t="s">
        <v>13</v>
      </c>
      <c r="B6">
        <v>0</v>
      </c>
      <c r="C6">
        <v>-271.34</v>
      </c>
      <c r="D6">
        <v>0</v>
      </c>
      <c r="E6">
        <v>0</v>
      </c>
      <c r="F6">
        <v>0</v>
      </c>
      <c r="G6">
        <v>0</v>
      </c>
      <c r="H6">
        <v>-7</v>
      </c>
      <c r="I6">
        <v>-268</v>
      </c>
      <c r="J6">
        <v>-6</v>
      </c>
      <c r="K6">
        <v>-9</v>
      </c>
      <c r="L6">
        <v>-10</v>
      </c>
      <c r="M6">
        <v>-15</v>
      </c>
      <c r="N6">
        <v>-584.4</v>
      </c>
      <c r="O6">
        <v>-598.79</v>
      </c>
      <c r="P6">
        <v>-837.74</v>
      </c>
      <c r="Q6">
        <v>-650.25</v>
      </c>
      <c r="R6">
        <v>-773.47</v>
      </c>
      <c r="S6">
        <v>-413.53</v>
      </c>
    </row>
    <row r="7" spans="1:20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-207.29</v>
      </c>
      <c r="H7">
        <v>-15</v>
      </c>
      <c r="I7">
        <v>-7</v>
      </c>
      <c r="J7">
        <v>-9</v>
      </c>
      <c r="K7">
        <v>-14</v>
      </c>
      <c r="L7">
        <v>-7</v>
      </c>
      <c r="M7">
        <v>-204</v>
      </c>
      <c r="N7">
        <v>-582.39</v>
      </c>
      <c r="O7">
        <v>-567.42</v>
      </c>
      <c r="P7">
        <v>-837.72</v>
      </c>
      <c r="Q7">
        <v>-649.73</v>
      </c>
      <c r="R7">
        <v>-835.78</v>
      </c>
      <c r="S7">
        <v>-456.95</v>
      </c>
      <c r="T7">
        <f>(M7-M11)/ABS(M11)</f>
        <v>0.00970873786407767</v>
      </c>
    </row>
    <row r="8" spans="1:19">
      <c r="A8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-207.29</v>
      </c>
      <c r="H8">
        <v>-15</v>
      </c>
      <c r="I8">
        <v>-6</v>
      </c>
      <c r="J8">
        <v>-9</v>
      </c>
      <c r="K8">
        <v>-13</v>
      </c>
      <c r="L8">
        <v>-7</v>
      </c>
      <c r="M8">
        <v>-203</v>
      </c>
      <c r="N8">
        <v>-582.72</v>
      </c>
      <c r="O8">
        <v>-567.88</v>
      </c>
      <c r="P8">
        <v>-837.37</v>
      </c>
      <c r="Q8">
        <v>-650.24</v>
      </c>
      <c r="R8">
        <v>-835.96</v>
      </c>
      <c r="S8">
        <v>-457.04</v>
      </c>
    </row>
    <row r="9" spans="1:19">
      <c r="A9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-207.29</v>
      </c>
      <c r="H9">
        <v>-15</v>
      </c>
      <c r="I9">
        <v>-6</v>
      </c>
      <c r="J9">
        <v>-10</v>
      </c>
      <c r="K9">
        <v>-13</v>
      </c>
      <c r="L9">
        <v>-5</v>
      </c>
      <c r="M9">
        <v>-204</v>
      </c>
      <c r="N9">
        <v>-582.71</v>
      </c>
      <c r="O9">
        <v>-567.81</v>
      </c>
      <c r="P9">
        <v>-836.11</v>
      </c>
      <c r="Q9">
        <v>-650.92</v>
      </c>
      <c r="R9">
        <v>-837.18</v>
      </c>
      <c r="S9">
        <v>-457.09</v>
      </c>
    </row>
    <row r="10" spans="1:1">
      <c r="A10">
        <v>4</v>
      </c>
    </row>
    <row r="11" spans="1:19">
      <c r="A11" t="s">
        <v>13</v>
      </c>
      <c r="B11">
        <v>0</v>
      </c>
      <c r="C11">
        <v>0</v>
      </c>
      <c r="D11">
        <v>0</v>
      </c>
      <c r="E11">
        <v>0</v>
      </c>
      <c r="F11">
        <v>0</v>
      </c>
      <c r="G11">
        <v>-207.29</v>
      </c>
      <c r="H11">
        <v>-9</v>
      </c>
      <c r="I11">
        <v>-8</v>
      </c>
      <c r="J11">
        <v>-9</v>
      </c>
      <c r="K11">
        <v>-10</v>
      </c>
      <c r="L11">
        <v>-7</v>
      </c>
      <c r="M11">
        <v>-206</v>
      </c>
      <c r="N11">
        <v>-581.7</v>
      </c>
      <c r="O11">
        <v>-558.01</v>
      </c>
      <c r="P11">
        <v>-832.15</v>
      </c>
      <c r="Q11">
        <v>-650.38</v>
      </c>
      <c r="R11">
        <v>-778.97</v>
      </c>
      <c r="S11">
        <v>-454.56</v>
      </c>
    </row>
    <row r="12" spans="1:19">
      <c r="A12">
        <v>1</v>
      </c>
      <c r="B12">
        <v>0</v>
      </c>
      <c r="C12">
        <v>-133.16</v>
      </c>
      <c r="D12">
        <v>0</v>
      </c>
      <c r="E12">
        <v>0</v>
      </c>
      <c r="F12">
        <v>-508.9</v>
      </c>
      <c r="G12">
        <v>0</v>
      </c>
      <c r="H12">
        <v>-15</v>
      </c>
      <c r="I12">
        <v>-136</v>
      </c>
      <c r="J12">
        <v>-6</v>
      </c>
      <c r="K12">
        <v>-12</v>
      </c>
      <c r="L12">
        <v>-507</v>
      </c>
      <c r="M12">
        <v>-20</v>
      </c>
      <c r="N12">
        <v>-575.17</v>
      </c>
      <c r="O12">
        <v>-580.26</v>
      </c>
      <c r="P12">
        <v>-831.83</v>
      </c>
      <c r="Q12">
        <v>-652.44</v>
      </c>
      <c r="R12">
        <v>-896.61</v>
      </c>
      <c r="S12">
        <v>-409.14</v>
      </c>
    </row>
    <row r="13" spans="1:19">
      <c r="A13">
        <v>2</v>
      </c>
      <c r="B13">
        <v>0</v>
      </c>
      <c r="C13">
        <v>-133.16</v>
      </c>
      <c r="D13">
        <v>0</v>
      </c>
      <c r="E13">
        <v>0</v>
      </c>
      <c r="F13">
        <v>-508.9</v>
      </c>
      <c r="G13">
        <v>0</v>
      </c>
      <c r="H13">
        <v>-16</v>
      </c>
      <c r="I13">
        <v>-138</v>
      </c>
      <c r="J13">
        <v>-6</v>
      </c>
      <c r="K13">
        <v>-13</v>
      </c>
      <c r="L13">
        <v>-505</v>
      </c>
      <c r="M13">
        <v>-20</v>
      </c>
      <c r="N13">
        <v>-574.48</v>
      </c>
      <c r="O13">
        <v>-580.44</v>
      </c>
      <c r="P13">
        <v>-831.86</v>
      </c>
      <c r="Q13">
        <v>-651.32</v>
      </c>
      <c r="R13">
        <v>-897.6</v>
      </c>
      <c r="S13">
        <v>-409.18</v>
      </c>
    </row>
    <row r="14" spans="1:1">
      <c r="A14">
        <v>3</v>
      </c>
    </row>
    <row r="15" spans="1:1">
      <c r="A15">
        <v>4</v>
      </c>
    </row>
    <row r="16" spans="1:19">
      <c r="A16" t="s">
        <v>13</v>
      </c>
      <c r="B16">
        <v>0</v>
      </c>
      <c r="C16">
        <v>-133.16</v>
      </c>
      <c r="D16">
        <v>0</v>
      </c>
      <c r="E16">
        <v>0</v>
      </c>
      <c r="F16">
        <v>-508.9</v>
      </c>
      <c r="G16">
        <v>0</v>
      </c>
      <c r="H16">
        <v>-11</v>
      </c>
      <c r="I16">
        <v>-137</v>
      </c>
      <c r="J16">
        <v>-6</v>
      </c>
      <c r="K16">
        <v>-13</v>
      </c>
      <c r="L16">
        <v>-509</v>
      </c>
      <c r="M16">
        <v>-12</v>
      </c>
      <c r="N16">
        <v>-578.08</v>
      </c>
      <c r="O16">
        <v>-580.09</v>
      </c>
      <c r="P16">
        <v>-831.03</v>
      </c>
      <c r="Q16">
        <v>-648.28</v>
      </c>
      <c r="R16">
        <v>-893.09</v>
      </c>
      <c r="S16">
        <v>-421.54</v>
      </c>
    </row>
    <row r="17" spans="1:19">
      <c r="A17">
        <v>1</v>
      </c>
      <c r="B17">
        <v>-103.06</v>
      </c>
      <c r="C17">
        <v>-485.39</v>
      </c>
      <c r="D17">
        <v>0</v>
      </c>
      <c r="E17">
        <v>0</v>
      </c>
      <c r="F17">
        <v>0</v>
      </c>
      <c r="G17">
        <v>0</v>
      </c>
      <c r="H17">
        <v>-99</v>
      </c>
      <c r="I17">
        <v>-479</v>
      </c>
      <c r="J17">
        <v>-5</v>
      </c>
      <c r="K17">
        <v>-16</v>
      </c>
      <c r="L17">
        <v>-13</v>
      </c>
      <c r="M17">
        <v>-27</v>
      </c>
      <c r="N17">
        <v>-624.53</v>
      </c>
      <c r="O17">
        <v>-621.01</v>
      </c>
      <c r="P17">
        <v>-851.95</v>
      </c>
      <c r="Q17">
        <v>-652.12</v>
      </c>
      <c r="R17">
        <v>-825.05</v>
      </c>
      <c r="S17">
        <v>-408.93</v>
      </c>
    </row>
    <row r="18" spans="1:19">
      <c r="A18">
        <v>2</v>
      </c>
      <c r="B18">
        <v>-103.06</v>
      </c>
      <c r="C18">
        <v>-485.39</v>
      </c>
      <c r="D18">
        <v>0</v>
      </c>
      <c r="E18">
        <v>0</v>
      </c>
      <c r="F18">
        <v>0</v>
      </c>
      <c r="G18">
        <v>0</v>
      </c>
      <c r="H18">
        <v>-98</v>
      </c>
      <c r="I18">
        <v>-486</v>
      </c>
      <c r="J18">
        <v>-4</v>
      </c>
      <c r="K18">
        <v>-17</v>
      </c>
      <c r="L18">
        <v>-12</v>
      </c>
      <c r="M18">
        <v>-26</v>
      </c>
      <c r="N18">
        <v>-623.91</v>
      </c>
      <c r="O18">
        <v>-621.08</v>
      </c>
      <c r="P18">
        <v>-852.55</v>
      </c>
      <c r="Q18">
        <v>-651.71</v>
      </c>
      <c r="R18">
        <v>-824.55</v>
      </c>
      <c r="S18">
        <v>-408.69</v>
      </c>
    </row>
    <row r="19" spans="1:1">
      <c r="A19">
        <v>3</v>
      </c>
    </row>
    <row r="20" spans="1:1">
      <c r="A20">
        <v>4</v>
      </c>
    </row>
    <row r="21" spans="1:19">
      <c r="A21" t="s">
        <v>13</v>
      </c>
      <c r="B21">
        <v>-103.06</v>
      </c>
      <c r="C21">
        <v>-485.39</v>
      </c>
      <c r="D21">
        <v>0</v>
      </c>
      <c r="E21">
        <v>0</v>
      </c>
      <c r="F21">
        <v>0</v>
      </c>
      <c r="G21">
        <v>0</v>
      </c>
      <c r="H21">
        <v>-99</v>
      </c>
      <c r="I21">
        <v>-481</v>
      </c>
      <c r="J21">
        <v>-6</v>
      </c>
      <c r="K21">
        <v>-12</v>
      </c>
      <c r="L21">
        <v>-7</v>
      </c>
      <c r="M21">
        <v>-16</v>
      </c>
      <c r="N21">
        <v>-612.57</v>
      </c>
      <c r="O21">
        <v>-614.35</v>
      </c>
      <c r="P21">
        <v>-837.31</v>
      </c>
      <c r="Q21">
        <v>-649.09</v>
      </c>
      <c r="R21">
        <v>-769.88</v>
      </c>
      <c r="S21">
        <v>-412.19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Shilong Yao</dc:creator>
  <cp:lastModifiedBy>皓月当空</cp:lastModifiedBy>
  <dcterms:created xsi:type="dcterms:W3CDTF">2015-06-06T02:19:00Z</dcterms:created>
  <dcterms:modified xsi:type="dcterms:W3CDTF">2025-12-11T12:07:29Z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68A748E7CED7FF2181433A69773FDDD0_42</vt:lpwstr>
  </property>
  <property fmtid="{D5CDD505-2E9C-101B-9397-08002B2CF9AE}" pid="3" name="KSOProductBuildVer">
    <vt:lpwstr>2052-12.1.23141.23141</vt:lpwstr>
  </property>
</Properties>
</file>